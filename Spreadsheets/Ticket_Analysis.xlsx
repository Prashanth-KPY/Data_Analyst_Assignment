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<sst xmlns="http://schemas.openxmlformats.org/spreadsheetml/2006/main" count="30" uniqueCount="22">
  <si>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ticket_id</t>
  </si>
  <si>
    <t>created_at</t>
  </si>
  <si>
    <t>closed_at</t>
  </si>
  <si>
    <t>outlet_id</t>
  </si>
  <si>
    <t>cms_id</t>
  </si>
  <si>
    <t>same_day</t>
  </si>
  <si>
    <t>same_hour</t>
  </si>
  <si>
    <t>same_day_count</t>
  </si>
  <si>
    <t>same_hour_count</t>
  </si>
  <si>
    <t>isu-sjd-457</t>
  </si>
  <si>
    <t>wrqy-juv-978</t>
  </si>
  <si>
    <t>vew-iuvd-12</t>
  </si>
  <si>
    <t>qer-fal-092</t>
  </si>
  <si>
    <t>8woh-k3u-23b</t>
  </si>
  <si>
    <t>vew-itnow-32</t>
  </si>
  <si>
    <t>kwoh-k3u-25b</t>
  </si>
  <si>
    <t>y0oh-p3u-32k</t>
  </si>
  <si>
    <t>…</t>
  </si>
  <si>
    <t>… …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</si>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</sst>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7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.95"/>
      <color rgb="FFFF0000"/>
      <name val="Arial"/>
      <charset val="134"/>
    </font>
    <font>
      <i/>
      <sz val="10.15"/>
      <color rgb="FF3C4042"/>
      <name val="Arial"/>
      <charset val="134"/>
    </font>
    <font>
      <sz val="9.95"/>
      <color rgb="FF000000"/>
      <name val="Arial"/>
      <charset val="134"/>
    </font>
    <font>
      <i/>
      <sz val="9.95"/>
      <color rgb="FF000000"/>
      <name val="Arial"/>
      <charset val="134"/>
    </font>
    <font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/>
    <xf numFmtId="180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wrapText="1"/>
    </xf>
    <xf numFmtId="180" fontId="2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180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180" fontId="5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4" fillId="0" borderId="2" xfId="0" applyFont="1" applyBorder="1" applyAlignment="1">
      <alignment wrapText="1"/>
    </xf>
    <xf numFmtId="180" fontId="4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180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6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130" zoomScaleNormal="130" workbookViewId="0">
      <selection activeCell="F6" sqref="F6"/>
    </sheetView>
  </sheetViews>
  <sheetFormatPr defaultColWidth="9" defaultRowHeight="14.4"/>
  <cols>
    <col min="1" max="1" width="14.5555555555556" customWidth="1"/>
    <col min="2" max="2" width="29.6481481481481" style="11" customWidth="1"/>
    <col min="3" max="3" width="26.1481481481481" style="11" customWidth="1"/>
    <col min="4" max="4" width="14" customWidth="1"/>
    <col min="5" max="5" width="13.3333333333333" customWidth="1"/>
    <col min="6" max="6" width="13.6666666666667" customWidth="1"/>
    <col min="7" max="7" width="15.9722222222222" customWidth="1"/>
    <col min="8" max="8" width="17.5925925925926" customWidth="1"/>
    <col min="9" max="9" width="17" customWidth="1"/>
  </cols>
  <sheetData>
    <row r="1" s="1" customFormat="1" spans="1:9">
      <c r="A1" s="12" t="s">
        <v>0</v>
      </c>
      <c r="B1" s="13" t="s">
        <v>1</v>
      </c>
      <c r="C1" s="13" t="s">
        <v>2</v>
      </c>
      <c r="D1" s="12" t="s">
        <v>3</v>
      </c>
      <c r="E1" s="12" t="s">
        <v>4</v>
      </c>
      <c r="F1" s="14" t="s">
        <v>5</v>
      </c>
      <c r="G1" s="14" t="s">
        <v>6</v>
      </c>
      <c r="H1" s="15" t="s">
        <v>7</v>
      </c>
      <c r="I1" s="15" t="s">
        <v>8</v>
      </c>
    </row>
    <row r="2" spans="1:9">
      <c r="A2" s="16" t="s">
        <v>9</v>
      </c>
      <c r="B2" s="17">
        <v>44427.6984143518</v>
      </c>
      <c r="C2" s="17">
        <v>44430.523287037</v>
      </c>
      <c r="D2" s="16" t="s">
        <v>10</v>
      </c>
      <c r="E2" s="18" t="s">
        <v>11</v>
      </c>
      <c r="F2" s="19" t="b">
        <f>IF(AND(ISNUMBER(B2),ISNUMBER(C2)),INT(B2)=INT(C2),"")</f>
        <v>0</v>
      </c>
      <c r="G2" s="20" t="b">
        <f>IF(AND(ISNUMBER(B2),ISNUMBER(C2)),TEXT(B2,"yyyy-mm-dd hh")=TEXT(C2,"yyyy-mm-dd hh"),"")</f>
        <v>0</v>
      </c>
      <c r="H2" s="19">
        <f>COUNTIFS(D:D,D2,F:F,TRUE)</f>
        <v>0</v>
      </c>
      <c r="I2" s="24">
        <f>COUNTIFS(D:D,D2,G:G,TRUE)</f>
        <v>0</v>
      </c>
    </row>
    <row r="3" spans="1:9">
      <c r="A3" s="16" t="s">
        <v>12</v>
      </c>
      <c r="B3" s="17">
        <v>44429.464837963</v>
      </c>
      <c r="C3" s="17">
        <v>44429.7178819444</v>
      </c>
      <c r="D3" s="16" t="s">
        <v>13</v>
      </c>
      <c r="E3" s="19" t="s">
        <v>14</v>
      </c>
      <c r="F3" s="19" t="b">
        <f>IF(AND(ISNUMBER(B3),ISNUMBER(C3)),INT(B3)=INT(C3),"")</f>
        <v>1</v>
      </c>
      <c r="G3" s="20" t="b">
        <f t="shared" ref="G3:G8" si="0">IF(AND(ISNUMBER(B3),ISNUMBER(C3)),TEXT(B3,"yyyy-mm-dd hh")=TEXT(C3,"yyyy-mm-dd hh"),"")</f>
        <v>0</v>
      </c>
      <c r="H3" s="19">
        <f>COUNTIFS(D:D,D3,F:F,TRUE)</f>
        <v>1</v>
      </c>
      <c r="I3" s="24">
        <f t="shared" ref="I3:I10" si="1">COUNTIFS(D:D,D3,G:G,TRUE)</f>
        <v>0</v>
      </c>
    </row>
    <row r="4" spans="1:9">
      <c r="A4" s="19"/>
      <c r="B4" s="21">
        <v>44429.4166666667</v>
      </c>
      <c r="C4" s="21">
        <v>44429.4479166667</v>
      </c>
      <c r="D4" s="19"/>
      <c r="E4" s="19"/>
      <c r="F4" s="19" t="b">
        <f>IF(AND(ISNUMBER(B4),ISNUMBER(C4)),INT(B4)=INT(C4),"")</f>
        <v>1</v>
      </c>
      <c r="G4" s="20" t="b">
        <f t="shared" si="0"/>
        <v>1</v>
      </c>
      <c r="H4" s="19">
        <f t="shared" ref="H4:H11" si="2">COUNTIFS(D:D,D4,F:F,TRUE)</f>
        <v>0</v>
      </c>
      <c r="I4" s="24">
        <f t="shared" si="1"/>
        <v>0</v>
      </c>
    </row>
    <row r="5" spans="1:9">
      <c r="A5" s="19"/>
      <c r="B5" s="21">
        <v>44429.4270833333</v>
      </c>
      <c r="C5" s="21">
        <v>44429.4896412037</v>
      </c>
      <c r="D5" s="19" t="s">
        <v>15</v>
      </c>
      <c r="E5" s="19"/>
      <c r="F5" s="19" t="b">
        <f>IF(AND(ISNUMBER(B5),ISNUMBER(C5)),INT(B5)=INT(C5),"")</f>
        <v>1</v>
      </c>
      <c r="G5" s="20" t="b">
        <f t="shared" si="0"/>
        <v>0</v>
      </c>
      <c r="H5" s="19">
        <f t="shared" si="2"/>
        <v>1</v>
      </c>
      <c r="I5" s="24">
        <f t="shared" si="1"/>
        <v>0</v>
      </c>
    </row>
    <row r="6" spans="1:9">
      <c r="A6" s="19"/>
      <c r="B6" s="21">
        <v>44429.3785300926</v>
      </c>
      <c r="C6" s="21">
        <v>44429.4062847222</v>
      </c>
      <c r="D6" s="19" t="s">
        <v>16</v>
      </c>
      <c r="E6" s="19"/>
      <c r="F6" s="19" t="b">
        <f>IF(AND(ISNUMBER(B6),ISNUMBER(C6)),INT(B6)=INT(C6),"")</f>
        <v>1</v>
      </c>
      <c r="G6" s="20" t="b">
        <f t="shared" si="0"/>
        <v>1</v>
      </c>
      <c r="H6" s="19">
        <f t="shared" si="2"/>
        <v>1</v>
      </c>
      <c r="I6" s="24">
        <f t="shared" si="1"/>
        <v>1</v>
      </c>
    </row>
    <row r="7" spans="1:9">
      <c r="A7" s="16" t="s">
        <v>17</v>
      </c>
      <c r="B7" s="22" t="s">
        <v>17</v>
      </c>
      <c r="C7" s="23"/>
      <c r="D7" s="16" t="s">
        <v>18</v>
      </c>
      <c r="E7" s="16" t="s">
        <v>17</v>
      </c>
      <c r="F7" s="19" t="str">
        <f>IF(AND(ISNUMBER(B7),ISNUMBER(C7)),INT(B7)=INT(C7),"")</f>
        <v/>
      </c>
      <c r="G7" s="20" t="str">
        <f t="shared" si="0"/>
        <v/>
      </c>
      <c r="H7" s="19">
        <f>COUNTIFS(D:D,D7,F:F,TRUE)</f>
        <v>0</v>
      </c>
      <c r="I7" s="24">
        <f t="shared" si="1"/>
        <v>0</v>
      </c>
    </row>
    <row r="8" spans="1:9">
      <c r="A8" s="19"/>
      <c r="B8" s="23"/>
      <c r="C8" s="23"/>
      <c r="D8" s="19"/>
      <c r="E8" s="19"/>
      <c r="F8" s="19" t="str">
        <f>IF(AND(ISNUMBER(B8),ISNUMBER(C8)),INT(B8)=INT(C8),"")</f>
        <v/>
      </c>
      <c r="G8" s="20" t="str">
        <f t="shared" si="0"/>
        <v/>
      </c>
      <c r="H8" s="19">
        <f t="shared" si="2"/>
        <v>0</v>
      </c>
      <c r="I8" s="24">
        <f t="shared" si="1"/>
        <v>0</v>
      </c>
    </row>
    <row r="9" spans="1:9">
      <c r="A9" s="19"/>
      <c r="B9" s="23"/>
      <c r="C9" s="23"/>
      <c r="D9" s="19"/>
      <c r="E9" s="19"/>
      <c r="F9" s="19"/>
      <c r="G9" s="20" t="str">
        <f>IF(AND(ISNUMBER(B9),ISNUMBER(C9)),TEXT(B9,"yyyy-mm-dd hh")=TEXT(C9,"yyyy-mm-dd hh"),"")</f>
        <v/>
      </c>
      <c r="H9" s="19">
        <f t="shared" si="2"/>
        <v>0</v>
      </c>
      <c r="I9" s="24">
        <f t="shared" si="1"/>
        <v>0</v>
      </c>
    </row>
    <row r="10" spans="1:9">
      <c r="A10" s="19"/>
      <c r="B10" s="23"/>
      <c r="C10" s="23"/>
      <c r="D10" s="19"/>
      <c r="E10" s="19"/>
      <c r="F10" s="19"/>
      <c r="G10" s="20" t="str">
        <f>IF(AND(ISNUMBER(B10),ISNUMBER(C10)),TEXT(B10,"yyyy-mm-dd hh")=TEXT(C10,"yyyy-mm-dd hh"),"")</f>
        <v/>
      </c>
      <c r="H10" s="19">
        <f t="shared" si="2"/>
        <v>0</v>
      </c>
      <c r="I10" s="24">
        <f t="shared" si="1"/>
        <v>0</v>
      </c>
    </row>
    <row r="11" spans="1:9">
      <c r="A11" s="19"/>
      <c r="B11" s="23"/>
      <c r="C11" s="23"/>
      <c r="D11" s="19"/>
      <c r="E11" s="19"/>
      <c r="F11" s="19"/>
      <c r="G11" s="20" t="str">
        <f>IF(AND(ISNUMBER(B11),ISNUMBER(C11)),TEXT(B11,"yyyy-mm-dd hh")=TEXT(C11,"yyyy-mm-dd hh"),"")</f>
        <v/>
      </c>
      <c r="H11" s="19">
        <f t="shared" si="2"/>
        <v>0</v>
      </c>
      <c r="I11" s="24">
        <f>COUNTIFS(D:D,D11,G:G,TRUE)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75" zoomScaleNormal="175" workbookViewId="0">
      <selection activeCell="B11" sqref="B11"/>
    </sheetView>
  </sheetViews>
  <sheetFormatPr defaultColWidth="8.88888888888889" defaultRowHeight="14.4" outlineLevelRow="5" outlineLevelCol="3"/>
  <cols>
    <col min="1" max="1" width="14.8888888888889" customWidth="1"/>
    <col min="2" max="2" width="16.7777777777778" customWidth="1"/>
    <col min="3" max="3" width="21.0092592592593" customWidth="1"/>
    <col min="4" max="4" width="20.2592592592593" style="2" customWidth="1"/>
  </cols>
  <sheetData>
    <row r="1" s="1" customFormat="1" spans="1:4">
      <c r="A1" s="3" t="s">
        <v>4</v>
      </c>
      <c r="B1" s="3" t="s">
        <v>19</v>
      </c>
      <c r="C1" s="3" t="s">
        <v>20</v>
      </c>
      <c r="D1" s="4" t="s">
        <v>21</v>
      </c>
    </row>
    <row r="2" ht="15.15" spans="1:4">
      <c r="A2" s="5" t="s">
        <v>11</v>
      </c>
      <c r="B2" s="6">
        <v>44429.5602777778</v>
      </c>
      <c r="C2" s="7">
        <v>3</v>
      </c>
      <c r="D2" s="8">
        <f>IFERROR(_xlfn.XLOOKUP(A2,ticket!E:E,ticket!B:B),"")</f>
        <v>44427.6984143518</v>
      </c>
    </row>
    <row r="3" ht="15.15" spans="1:4">
      <c r="A3" s="9" t="s">
        <v>14</v>
      </c>
      <c r="B3" s="9"/>
      <c r="C3" s="9"/>
      <c r="D3" s="8">
        <f>IFERROR(_xlfn.XLOOKUP(A3,ticket!E:E,ticket!B:B),"")</f>
        <v>44429.464837963</v>
      </c>
    </row>
    <row r="4" ht="15.15" spans="1:4">
      <c r="A4" s="9"/>
      <c r="B4" s="9"/>
      <c r="C4" s="9"/>
      <c r="D4" s="8">
        <f>IFERROR(_xlfn.XLOOKUP(A4,ticket!E:E,ticket!B:B),"")</f>
        <v>44429.4166666667</v>
      </c>
    </row>
    <row r="5" ht="15.15" spans="1:4">
      <c r="A5" s="9"/>
      <c r="B5" s="9"/>
      <c r="C5" s="9"/>
      <c r="D5" s="8">
        <f>IFERROR(_xlfn.XLOOKUP(A5,ticket!E:E,ticket!B:B),"")</f>
        <v>44429.4166666667</v>
      </c>
    </row>
    <row r="6" spans="1:4">
      <c r="A6" s="10" t="s">
        <v>17</v>
      </c>
      <c r="B6" s="10" t="s">
        <v>17</v>
      </c>
      <c r="C6" s="10" t="s">
        <v>17</v>
      </c>
      <c r="D6" s="8" t="str">
        <f>IFERROR(_xlfn.XLOOKUP(A6,ticket!E:E,ticket!B:B),"")</f>
        <v>…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Prashanth It's me</cp:lastModifiedBy>
  <dcterms:created xsi:type="dcterms:W3CDTF">2025-07-21T09:59:00Z</dcterms:created>
  <dcterms:modified xsi:type="dcterms:W3CDTF">2025-12-02T15:39:52Z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FCA041D7775E40398078C1708B70FFB8_12</vt:lpwstr>
  </property>
  <property fmtid="{D5CDD505-2E9C-101B-9397-08002B2CF9AE}" pid="3" name="KSOProductBuildVer">
    <vt:lpwstr>1033-12.2.0.23155</vt:lpwstr>
  </property>
</Properties>
</file>